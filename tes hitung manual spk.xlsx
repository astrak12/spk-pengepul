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pk-pengepul\"/>
    </mc:Choice>
  </mc:AlternateContent>
  <xr:revisionPtr revIDLastSave="0" documentId="13_ncr:1_{087D3D3E-E6A8-4DBD-863F-45DF5B81A14C}" xr6:coauthVersionLast="47" xr6:coauthVersionMax="47" xr10:uidLastSave="{00000000-0000-0000-0000-000000000000}"/>
  <bookViews>
    <workbookView xWindow="-108" yWindow="-108" windowWidth="23256" windowHeight="13176" xr2:uid="{9DB93D71-63B6-4E73-BEE2-6BA37137FB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7" i="1"/>
  <c r="C38" i="1"/>
  <c r="C35" i="1"/>
  <c r="D25" i="1"/>
  <c r="B15" i="1"/>
  <c r="B25" i="1" s="1"/>
  <c r="C15" i="1"/>
  <c r="C25" i="1" s="1"/>
  <c r="D15" i="1"/>
  <c r="E15" i="1"/>
  <c r="E25" i="1" s="1"/>
  <c r="F15" i="1"/>
  <c r="F25" i="1" s="1"/>
  <c r="G15" i="1"/>
  <c r="G25" i="1" s="1"/>
  <c r="H15" i="1"/>
  <c r="H25" i="1" s="1"/>
  <c r="I15" i="1"/>
  <c r="I25" i="1" s="1"/>
  <c r="B16" i="1"/>
  <c r="B26" i="1" s="1"/>
  <c r="C16" i="1"/>
  <c r="C26" i="1" s="1"/>
  <c r="D16" i="1"/>
  <c r="D26" i="1" s="1"/>
  <c r="E16" i="1"/>
  <c r="E26" i="1" s="1"/>
  <c r="F16" i="1"/>
  <c r="F26" i="1" s="1"/>
  <c r="G16" i="1"/>
  <c r="G26" i="1" s="1"/>
  <c r="H16" i="1"/>
  <c r="H26" i="1" s="1"/>
  <c r="I16" i="1"/>
  <c r="I26" i="1" s="1"/>
  <c r="B17" i="1"/>
  <c r="B27" i="1" s="1"/>
  <c r="C17" i="1"/>
  <c r="C27" i="1" s="1"/>
  <c r="D17" i="1"/>
  <c r="D27" i="1" s="1"/>
  <c r="E17" i="1"/>
  <c r="E27" i="1" s="1"/>
  <c r="F17" i="1"/>
  <c r="F27" i="1" s="1"/>
  <c r="G17" i="1"/>
  <c r="G27" i="1" s="1"/>
  <c r="H17" i="1"/>
  <c r="H27" i="1" s="1"/>
  <c r="I17" i="1"/>
  <c r="I27" i="1" s="1"/>
  <c r="B18" i="1"/>
  <c r="B28" i="1" s="1"/>
  <c r="C18" i="1"/>
  <c r="C28" i="1" s="1"/>
  <c r="D18" i="1"/>
  <c r="D28" i="1" s="1"/>
  <c r="E18" i="1"/>
  <c r="E28" i="1" s="1"/>
  <c r="F18" i="1"/>
  <c r="F28" i="1" s="1"/>
  <c r="G18" i="1"/>
  <c r="G28" i="1" s="1"/>
  <c r="H18" i="1"/>
  <c r="H28" i="1" s="1"/>
  <c r="I18" i="1"/>
  <c r="I28" i="1" s="1"/>
  <c r="F31" i="1" l="1"/>
  <c r="F30" i="1"/>
  <c r="H31" i="1"/>
  <c r="H30" i="1"/>
  <c r="C31" i="1"/>
  <c r="K27" i="1" s="1"/>
  <c r="C30" i="1"/>
  <c r="J27" i="1" s="1"/>
  <c r="G31" i="1"/>
  <c r="G30" i="1"/>
  <c r="D31" i="1"/>
  <c r="J25" i="1"/>
  <c r="B30" i="1"/>
  <c r="B31" i="1"/>
  <c r="K25" i="1" s="1"/>
  <c r="E31" i="1"/>
  <c r="E30" i="1"/>
  <c r="I30" i="1"/>
  <c r="I31" i="1"/>
  <c r="K26" i="1" s="1"/>
  <c r="D30" i="1"/>
  <c r="J26" i="1" s="1"/>
  <c r="J16" i="1"/>
  <c r="B36" i="1" s="1"/>
  <c r="J17" i="1"/>
  <c r="B37" i="1" s="1"/>
  <c r="J18" i="1"/>
  <c r="B38" i="1" s="1"/>
  <c r="J15" i="1"/>
  <c r="B35" i="1" s="1"/>
  <c r="D36" i="1" l="1"/>
  <c r="L26" i="1"/>
  <c r="D35" i="1"/>
  <c r="E35" i="1" s="1"/>
  <c r="L25" i="1"/>
  <c r="D37" i="1"/>
  <c r="E37" i="1" s="1"/>
  <c r="L27" i="1"/>
  <c r="J28" i="1"/>
  <c r="K28" i="1"/>
  <c r="E36" i="1"/>
  <c r="D38" i="1" l="1"/>
  <c r="E38" i="1" s="1"/>
  <c r="L28" i="1"/>
</calcChain>
</file>

<file path=xl/sharedStrings.xml><?xml version="1.0" encoding="utf-8"?>
<sst xmlns="http://schemas.openxmlformats.org/spreadsheetml/2006/main" count="134" uniqueCount="65">
  <si>
    <t>PERHITUNGAN MANUAL SPK (METODE HYBRID SAW &amp; TOPSIS)</t>
  </si>
  <si>
    <t>DATA AWAL</t>
  </si>
  <si>
    <t>Kriteria</t>
  </si>
  <si>
    <t>C1 ( Harga Beli)</t>
  </si>
  <si>
    <t>C2 (Jarak Lokasi)</t>
  </si>
  <si>
    <t>C3 (Kapasitas Muat)</t>
  </si>
  <si>
    <t>C4 (Ketepatan Waktu Jemput)</t>
  </si>
  <si>
    <t>Jenis</t>
  </si>
  <si>
    <t>Benefit</t>
  </si>
  <si>
    <t>Cost</t>
  </si>
  <si>
    <t>Bobot</t>
  </si>
  <si>
    <t>Alternatif</t>
  </si>
  <si>
    <t>Nilai C1</t>
  </si>
  <si>
    <t>Nilai C2</t>
  </si>
  <si>
    <t>Nilai C3</t>
  </si>
  <si>
    <t>Nilai C4</t>
  </si>
  <si>
    <t>Kertabumi Recycling Center</t>
  </si>
  <si>
    <t>ABU Waste Management Services</t>
  </si>
  <si>
    <t>Pengepul Kreo Ciledug</t>
  </si>
  <si>
    <t>Yayasan Ayo Peduli Sesama</t>
  </si>
  <si>
    <t>1. PERHITUNGAN SAW</t>
  </si>
  <si>
    <t>Normalisasi (R)</t>
  </si>
  <si>
    <t>C1</t>
  </si>
  <si>
    <t>C2</t>
  </si>
  <si>
    <t>C3</t>
  </si>
  <si>
    <t>C4</t>
  </si>
  <si>
    <t>Skor SAW (V)</t>
  </si>
  <si>
    <t>2. PERHITUNGAN TOPSIS</t>
  </si>
  <si>
    <t>Matriks (Y)</t>
  </si>
  <si>
    <t>Solusi Ideal Positif (A+)</t>
  </si>
  <si>
    <t>Solusi Ideal Negatif (A-)</t>
  </si>
  <si>
    <t>D+ (Positif)</t>
  </si>
  <si>
    <t>D- (Negatif)</t>
  </si>
  <si>
    <t>Skor TOPSIS (Ci)</t>
  </si>
  <si>
    <t>3. KESIMPULAN HASIL HYBRID</t>
  </si>
  <si>
    <t>Nama Pengepul</t>
  </si>
  <si>
    <t>Skor SAW Asli</t>
  </si>
  <si>
    <t>Skor TOPSIS Asli</t>
  </si>
  <si>
    <t>TOPSIS (Skala 100%)</t>
  </si>
  <si>
    <t>STANDAR PENILAIAN SETIAP KRITERIA</t>
  </si>
  <si>
    <t>C1 (Harga beli sampah)</t>
  </si>
  <si>
    <t>C5 (Metode Pembayaran)</t>
  </si>
  <si>
    <t>C6 (Varian jenis sampah yang diterima)</t>
  </si>
  <si>
    <t>C7 (Responsivitas Komunikasi)</t>
  </si>
  <si>
    <t>C8 (Kapasitas gudang)</t>
  </si>
  <si>
    <t>Nilai C5</t>
  </si>
  <si>
    <t>Nilai C6</t>
  </si>
  <si>
    <t>Nilai C7</t>
  </si>
  <si>
    <t>Nilai C8</t>
  </si>
  <si>
    <t>C5</t>
  </si>
  <si>
    <t>C6</t>
  </si>
  <si>
    <t>C7</t>
  </si>
  <si>
    <t>C8</t>
  </si>
  <si>
    <t>Skor akhir</t>
  </si>
  <si>
    <t xml:space="preserve">Kode </t>
  </si>
  <si>
    <t>NO</t>
  </si>
  <si>
    <t>Harga Beli</t>
  </si>
  <si>
    <t>Jarak Lokasi</t>
  </si>
  <si>
    <t>Kapasitas Muat</t>
  </si>
  <si>
    <t>Ketepatan Waktu Jemput</t>
  </si>
  <si>
    <t>Metode Pembayaran</t>
  </si>
  <si>
    <t>Varian jenis sampah yang diterima</t>
  </si>
  <si>
    <t>Responsivitas Komunikasi</t>
  </si>
  <si>
    <t>Kapasitas gudang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</si>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</sst>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111827"/>
      <name val="Arial"/>
      <family val="2"/>
    </font>
    <font>
      <b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0" borderId="3" xfId="0" applyBorder="1"/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9741-42CC-4B59-BF35-5618A2282AB3}">
  <dimension ref="A1:L41"/>
  <sheetViews>
    <sheetView tabSelected="1" zoomScale="62" workbookViewId="0">
      <selection activeCell="I7" sqref="A4:I7"/>
    </sheetView>
  </sheetViews>
  <sheetFormatPr defaultRowHeight="14.4" x14ac:dyDescent="0.3"/>
  <cols>
    <col min="1" max="1" width="27.88671875" customWidth="1"/>
    <col min="2" max="2" width="13.5546875" customWidth="1"/>
    <col min="3" max="3" width="16.21875" customWidth="1"/>
    <col min="4" max="4" width="17.77734375" customWidth="1"/>
    <col min="5" max="5" width="25.109375" customWidth="1"/>
    <col min="6" max="6" width="21.77734375" customWidth="1"/>
    <col min="7" max="7" width="35.21875" customWidth="1"/>
    <col min="8" max="8" width="28" customWidth="1"/>
    <col min="9" max="9" width="20.33203125" customWidth="1"/>
    <col min="10" max="10" width="25.5546875" customWidth="1"/>
    <col min="11" max="11" width="28.33203125" customWidth="1"/>
    <col min="12" max="12" width="17.77734375" customWidth="1"/>
  </cols>
  <sheetData>
    <row r="1" spans="1:10" ht="15.6" x14ac:dyDescent="0.3">
      <c r="A1" s="1" t="s">
        <v>0</v>
      </c>
    </row>
    <row r="3" spans="1:10" x14ac:dyDescent="0.3">
      <c r="A3" s="2" t="s">
        <v>1</v>
      </c>
    </row>
    <row r="4" spans="1:10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41</v>
      </c>
      <c r="G4" s="9" t="s">
        <v>42</v>
      </c>
      <c r="H4" s="9" t="s">
        <v>43</v>
      </c>
      <c r="I4" s="9" t="s">
        <v>44</v>
      </c>
    </row>
    <row r="5" spans="1:10" x14ac:dyDescent="0.3">
      <c r="A5" s="9" t="s">
        <v>7</v>
      </c>
      <c r="B5" s="9" t="s">
        <v>8</v>
      </c>
      <c r="C5" s="9" t="s">
        <v>9</v>
      </c>
      <c r="D5" s="9" t="s">
        <v>8</v>
      </c>
      <c r="E5" s="9" t="s">
        <v>8</v>
      </c>
      <c r="F5" s="9" t="s">
        <v>8</v>
      </c>
      <c r="G5" s="9" t="s">
        <v>8</v>
      </c>
      <c r="H5" s="9" t="s">
        <v>8</v>
      </c>
      <c r="I5" s="9" t="s">
        <v>8</v>
      </c>
    </row>
    <row r="6" spans="1:10" ht="15.6" x14ac:dyDescent="0.3">
      <c r="A6" s="9" t="s">
        <v>10</v>
      </c>
      <c r="B6" s="9">
        <v>25</v>
      </c>
      <c r="C6" s="9">
        <v>8</v>
      </c>
      <c r="D6" s="9">
        <v>10</v>
      </c>
      <c r="E6" s="10">
        <v>12</v>
      </c>
      <c r="F6" s="9">
        <v>5</v>
      </c>
      <c r="G6" s="9">
        <v>8</v>
      </c>
      <c r="H6" s="9">
        <v>7</v>
      </c>
      <c r="I6" s="9">
        <v>25</v>
      </c>
    </row>
    <row r="7" spans="1:10" x14ac:dyDescent="0.3">
      <c r="A7" s="9" t="s">
        <v>11</v>
      </c>
      <c r="B7" s="9" t="s">
        <v>12</v>
      </c>
      <c r="C7" s="9" t="s">
        <v>13</v>
      </c>
      <c r="D7" s="9" t="s">
        <v>14</v>
      </c>
      <c r="E7" s="9" t="s">
        <v>15</v>
      </c>
      <c r="F7" s="9" t="s">
        <v>45</v>
      </c>
      <c r="G7" s="13" t="s">
        <v>46</v>
      </c>
      <c r="H7" s="13" t="s">
        <v>47</v>
      </c>
      <c r="I7" s="13" t="s">
        <v>48</v>
      </c>
    </row>
    <row r="8" spans="1:10" x14ac:dyDescent="0.3">
      <c r="A8" s="4" t="s">
        <v>16</v>
      </c>
      <c r="B8" s="6">
        <v>85</v>
      </c>
      <c r="C8" s="6">
        <v>2</v>
      </c>
      <c r="D8" s="6">
        <v>4000</v>
      </c>
      <c r="E8" s="6">
        <v>90</v>
      </c>
      <c r="F8" s="6">
        <v>90</v>
      </c>
      <c r="G8" s="6">
        <v>30</v>
      </c>
      <c r="H8" s="6">
        <v>55</v>
      </c>
      <c r="I8" s="6">
        <v>94</v>
      </c>
    </row>
    <row r="9" spans="1:10" x14ac:dyDescent="0.3">
      <c r="A9" s="4" t="s">
        <v>17</v>
      </c>
      <c r="B9" s="6">
        <v>95</v>
      </c>
      <c r="C9" s="6">
        <v>12</v>
      </c>
      <c r="D9" s="6">
        <v>8000</v>
      </c>
      <c r="E9" s="6">
        <v>85</v>
      </c>
      <c r="F9" s="6">
        <v>91</v>
      </c>
      <c r="G9" s="6">
        <v>60</v>
      </c>
      <c r="H9" s="6">
        <v>65</v>
      </c>
      <c r="I9" s="6">
        <v>78</v>
      </c>
    </row>
    <row r="10" spans="1:10" x14ac:dyDescent="0.3">
      <c r="A10" s="7" t="s">
        <v>18</v>
      </c>
      <c r="B10" s="6">
        <v>80</v>
      </c>
      <c r="C10" s="6">
        <v>6</v>
      </c>
      <c r="D10" s="6">
        <v>3000</v>
      </c>
      <c r="E10" s="6">
        <v>75</v>
      </c>
      <c r="F10" s="6">
        <v>92</v>
      </c>
      <c r="G10" s="6">
        <v>79</v>
      </c>
      <c r="H10" s="6">
        <v>69</v>
      </c>
      <c r="I10" s="6">
        <v>81</v>
      </c>
    </row>
    <row r="11" spans="1:10" x14ac:dyDescent="0.3">
      <c r="A11" s="7" t="s">
        <v>19</v>
      </c>
      <c r="B11" s="6">
        <v>65</v>
      </c>
      <c r="C11" s="6">
        <v>10</v>
      </c>
      <c r="D11" s="6">
        <v>4000</v>
      </c>
      <c r="E11" s="6">
        <v>95</v>
      </c>
      <c r="F11" s="6">
        <v>89</v>
      </c>
      <c r="G11" s="6">
        <v>98</v>
      </c>
      <c r="H11" s="6">
        <v>60</v>
      </c>
      <c r="I11" s="6">
        <v>54</v>
      </c>
    </row>
    <row r="13" spans="1:10" x14ac:dyDescent="0.3">
      <c r="A13" s="2" t="s">
        <v>20</v>
      </c>
    </row>
    <row r="14" spans="1:10" x14ac:dyDescent="0.3">
      <c r="A14" s="3" t="s">
        <v>21</v>
      </c>
      <c r="B14" s="3" t="s">
        <v>22</v>
      </c>
      <c r="C14" s="3" t="s">
        <v>23</v>
      </c>
      <c r="D14" s="3" t="s">
        <v>24</v>
      </c>
      <c r="E14" s="3" t="s">
        <v>25</v>
      </c>
      <c r="F14" s="3" t="s">
        <v>49</v>
      </c>
      <c r="G14" s="3" t="s">
        <v>50</v>
      </c>
      <c r="H14" s="3" t="s">
        <v>51</v>
      </c>
      <c r="I14" s="3" t="s">
        <v>52</v>
      </c>
      <c r="J14" s="3" t="s">
        <v>26</v>
      </c>
    </row>
    <row r="15" spans="1:10" x14ac:dyDescent="0.3">
      <c r="A15" s="4"/>
      <c r="B15" s="11">
        <f>B8/MAX(B$8:B$10)</f>
        <v>0.89473684210526316</v>
      </c>
      <c r="C15" s="11">
        <f>MIN(C$8:C$10)/C8</f>
        <v>1</v>
      </c>
      <c r="D15" s="11">
        <f>D8/MAX(D$8:D$10)</f>
        <v>0.5</v>
      </c>
      <c r="E15" s="11">
        <f>E8/MAX(E$8:E$11)</f>
        <v>0.94736842105263153</v>
      </c>
      <c r="F15" s="15">
        <f>F8/MAX(F$8:F$11)</f>
        <v>0.97826086956521741</v>
      </c>
      <c r="G15" s="15">
        <f>G8/MAX(G$8:G$11)</f>
        <v>0.30612244897959184</v>
      </c>
      <c r="H15" s="15">
        <f>H8/MAX(H$8:H$11)</f>
        <v>0.79710144927536231</v>
      </c>
      <c r="I15" s="15">
        <f>I8/MAX(I$8:I$11)</f>
        <v>1</v>
      </c>
      <c r="J15" s="12">
        <f>(B15*B$6)+(C15*C$6)+(D15*D$6)+(E15*E$6)+(F15*F$6)+(G15*G$6)+(H15*H$6)+(I15*I$6)</f>
        <v>84.656836189853507</v>
      </c>
    </row>
    <row r="16" spans="1:10" x14ac:dyDescent="0.3">
      <c r="A16" s="4"/>
      <c r="B16" s="11">
        <f t="shared" ref="B16:B18" si="0">B9/MAX(B$8:B$10)</f>
        <v>1</v>
      </c>
      <c r="C16" s="11">
        <f t="shared" ref="C16:C18" si="1">MIN(C$8:C$10)/C9</f>
        <v>0.16666666666666666</v>
      </c>
      <c r="D16" s="11">
        <f t="shared" ref="D16:D18" si="2">D9/MAX(D$8:D$10)</f>
        <v>1</v>
      </c>
      <c r="E16" s="11">
        <f t="shared" ref="E16:I18" si="3">E9/MAX(E$8:E$11)</f>
        <v>0.89473684210526316</v>
      </c>
      <c r="F16" s="15">
        <f t="shared" si="3"/>
        <v>0.98913043478260865</v>
      </c>
      <c r="G16" s="15">
        <f t="shared" si="3"/>
        <v>0.61224489795918369</v>
      </c>
      <c r="H16" s="15">
        <f t="shared" si="3"/>
        <v>0.94202898550724634</v>
      </c>
      <c r="I16" s="15">
        <f t="shared" si="3"/>
        <v>0.82978723404255317</v>
      </c>
      <c r="J16" s="12">
        <f t="shared" ref="J16:J18" si="4">(B16*B$6)+(C16*C$6)+(D16*D$6)+(E16*E$6)+(F16*F$6)+(G16*G$6)+(H16*H$6)+(I16*I$6)</f>
        <v>84.252670545797557</v>
      </c>
    </row>
    <row r="17" spans="1:12" x14ac:dyDescent="0.3">
      <c r="A17" s="4"/>
      <c r="B17" s="11">
        <f t="shared" si="0"/>
        <v>0.84210526315789469</v>
      </c>
      <c r="C17" s="11">
        <f t="shared" si="1"/>
        <v>0.33333333333333331</v>
      </c>
      <c r="D17" s="11">
        <f t="shared" si="2"/>
        <v>0.375</v>
      </c>
      <c r="E17" s="11">
        <f t="shared" si="3"/>
        <v>0.78947368421052633</v>
      </c>
      <c r="F17" s="15">
        <f t="shared" si="3"/>
        <v>1</v>
      </c>
      <c r="G17" s="15">
        <f t="shared" si="3"/>
        <v>0.80612244897959184</v>
      </c>
      <c r="H17" s="15">
        <f t="shared" si="3"/>
        <v>1</v>
      </c>
      <c r="I17" s="15">
        <f t="shared" si="3"/>
        <v>0.86170212765957444</v>
      </c>
      <c r="J17" s="12">
        <f t="shared" si="4"/>
        <v>76.934515239466435</v>
      </c>
    </row>
    <row r="18" spans="1:12" x14ac:dyDescent="0.3">
      <c r="A18" s="4"/>
      <c r="B18" s="11">
        <f t="shared" si="0"/>
        <v>0.68421052631578949</v>
      </c>
      <c r="C18" s="11">
        <f t="shared" si="1"/>
        <v>0.2</v>
      </c>
      <c r="D18" s="11">
        <f t="shared" si="2"/>
        <v>0.5</v>
      </c>
      <c r="E18" s="11">
        <f t="shared" si="3"/>
        <v>1</v>
      </c>
      <c r="F18" s="15">
        <f t="shared" si="3"/>
        <v>0.96739130434782605</v>
      </c>
      <c r="G18" s="15">
        <f t="shared" si="3"/>
        <v>1</v>
      </c>
      <c r="H18" s="15">
        <f t="shared" si="3"/>
        <v>0.86956521739130432</v>
      </c>
      <c r="I18" s="15">
        <f t="shared" si="3"/>
        <v>0.57446808510638303</v>
      </c>
      <c r="J18" s="12">
        <f t="shared" si="4"/>
        <v>68.990878329032569</v>
      </c>
    </row>
    <row r="20" spans="1:12" x14ac:dyDescent="0.3">
      <c r="A20" s="5" t="s">
        <v>27</v>
      </c>
    </row>
    <row r="24" spans="1:12" x14ac:dyDescent="0.3">
      <c r="A24" s="3" t="s">
        <v>28</v>
      </c>
      <c r="B24" s="13" t="s">
        <v>22</v>
      </c>
      <c r="C24" s="13" t="s">
        <v>23</v>
      </c>
      <c r="D24" s="13" t="s">
        <v>24</v>
      </c>
      <c r="E24" s="13" t="s">
        <v>25</v>
      </c>
      <c r="F24" s="13" t="s">
        <v>49</v>
      </c>
      <c r="G24" s="13" t="s">
        <v>50</v>
      </c>
      <c r="H24" s="13" t="s">
        <v>51</v>
      </c>
      <c r="I24" s="13" t="s">
        <v>52</v>
      </c>
      <c r="J24" s="13" t="s">
        <v>31</v>
      </c>
      <c r="K24" s="13" t="s">
        <v>32</v>
      </c>
      <c r="L24" s="13" t="s">
        <v>33</v>
      </c>
    </row>
    <row r="25" spans="1:12" x14ac:dyDescent="0.3">
      <c r="A25" s="4" t="s">
        <v>16</v>
      </c>
      <c r="B25" s="16">
        <f>B15*B$6</f>
        <v>22.368421052631579</v>
      </c>
      <c r="C25" s="16">
        <f t="shared" ref="C25:I25" si="5">C15*C$6</f>
        <v>8</v>
      </c>
      <c r="D25" s="16">
        <f t="shared" si="5"/>
        <v>5</v>
      </c>
      <c r="E25" s="16">
        <f t="shared" si="5"/>
        <v>11.368421052631579</v>
      </c>
      <c r="F25" s="16">
        <f t="shared" si="5"/>
        <v>4.8913043478260869</v>
      </c>
      <c r="G25" s="16">
        <f t="shared" si="5"/>
        <v>2.4489795918367347</v>
      </c>
      <c r="H25" s="16">
        <f t="shared" si="5"/>
        <v>5.5797101449275361</v>
      </c>
      <c r="I25" s="16">
        <f t="shared" si="5"/>
        <v>25</v>
      </c>
      <c r="J25" s="16">
        <f>SQRT((B25-B$30)^2 + (C25-C$30)^2 + (D25-D$30)^2 + (E25-E$30)^2 + (F25-F$30)^2 + (G25-G$30)^2 + (H25-H$30)^2 + (I25-I$30)^2)</f>
        <v>8.0726058563551852</v>
      </c>
      <c r="K25" s="16">
        <f>SQRT((B25-B$31)^2 + (C25-C$31)^2 + (D25-D$31)^2 + (E25-E$31)^2 + (F25-F$31)^2 + (G25-G$31)^2 + (H25-H$31)^2 + (I25-I$31)^2)</f>
        <v>13.801236845915275</v>
      </c>
      <c r="L25" s="16">
        <f>K25 / (J25 + K25)</f>
        <v>0.63094706466380213</v>
      </c>
    </row>
    <row r="26" spans="1:12" x14ac:dyDescent="0.3">
      <c r="A26" s="4" t="s">
        <v>17</v>
      </c>
      <c r="B26" s="16">
        <f t="shared" ref="B26:I26" si="6">B16*B$6</f>
        <v>25</v>
      </c>
      <c r="C26" s="16">
        <f t="shared" si="6"/>
        <v>1.3333333333333333</v>
      </c>
      <c r="D26" s="16">
        <f t="shared" si="6"/>
        <v>10</v>
      </c>
      <c r="E26" s="16">
        <f t="shared" si="6"/>
        <v>10.736842105263158</v>
      </c>
      <c r="F26" s="16">
        <f t="shared" si="6"/>
        <v>4.945652173913043</v>
      </c>
      <c r="G26" s="16">
        <f t="shared" si="6"/>
        <v>4.8979591836734695</v>
      </c>
      <c r="H26" s="16">
        <f t="shared" si="6"/>
        <v>6.5942028985507246</v>
      </c>
      <c r="I26" s="16">
        <f t="shared" si="6"/>
        <v>20.74468085106383</v>
      </c>
      <c r="J26" s="16">
        <f t="shared" ref="J26:J28" si="7">SQRT((B26-B$30)^2 + (C26-C$30)^2 + (D26-D$30)^2 + (E26-E$30)^2 + (F26-F$30)^2 + (G26-G$30)^2 + (H26-H$30)^2 + (I26-I$30)^2)</f>
        <v>8.5987229034714279</v>
      </c>
      <c r="K26" s="16">
        <f t="shared" ref="K26:K28" si="8">SQRT((B26-B$31)^2 + (C26-C$31)^2 + (D26-D$31)^2 + (E26-E$31)^2 + (F26-F$31)^2 + (G26-G$31)^2 + (H26-H$31)^2 + (I26-I$31)^2)</f>
        <v>12.278675270148238</v>
      </c>
      <c r="L26" s="16">
        <f t="shared" ref="L26:L28" si="9">K26 / (J26 + K26)</f>
        <v>0.58813244677506638</v>
      </c>
    </row>
    <row r="27" spans="1:12" x14ac:dyDescent="0.3">
      <c r="A27" s="7" t="s">
        <v>18</v>
      </c>
      <c r="B27" s="16">
        <f t="shared" ref="B27:I27" si="10">B17*B$6</f>
        <v>21.052631578947366</v>
      </c>
      <c r="C27" s="16">
        <f t="shared" si="10"/>
        <v>2.6666666666666665</v>
      </c>
      <c r="D27" s="16">
        <f t="shared" si="10"/>
        <v>3.75</v>
      </c>
      <c r="E27" s="16">
        <f t="shared" si="10"/>
        <v>9.473684210526315</v>
      </c>
      <c r="F27" s="16">
        <f t="shared" si="10"/>
        <v>5</v>
      </c>
      <c r="G27" s="16">
        <f t="shared" si="10"/>
        <v>6.4489795918367347</v>
      </c>
      <c r="H27" s="16">
        <f t="shared" si="10"/>
        <v>7</v>
      </c>
      <c r="I27" s="16">
        <f t="shared" si="10"/>
        <v>21.542553191489361</v>
      </c>
      <c r="J27" s="16">
        <f t="shared" si="7"/>
        <v>10.189726988704429</v>
      </c>
      <c r="K27" s="16">
        <f t="shared" si="8"/>
        <v>9.3256594232489434</v>
      </c>
      <c r="L27" s="16">
        <f t="shared" si="9"/>
        <v>0.47786188940316765</v>
      </c>
    </row>
    <row r="28" spans="1:12" x14ac:dyDescent="0.3">
      <c r="A28" s="7" t="s">
        <v>19</v>
      </c>
      <c r="B28" s="16">
        <f t="shared" ref="B28:I28" si="11">B18*B$6</f>
        <v>17.105263157894736</v>
      </c>
      <c r="C28" s="16">
        <f t="shared" si="11"/>
        <v>1.6</v>
      </c>
      <c r="D28" s="16">
        <f t="shared" si="11"/>
        <v>5</v>
      </c>
      <c r="E28" s="16">
        <f t="shared" si="11"/>
        <v>12</v>
      </c>
      <c r="F28" s="16">
        <f t="shared" si="11"/>
        <v>4.8369565217391299</v>
      </c>
      <c r="G28" s="16">
        <f t="shared" si="11"/>
        <v>8</v>
      </c>
      <c r="H28" s="16">
        <f t="shared" si="11"/>
        <v>6.0869565217391299</v>
      </c>
      <c r="I28" s="16">
        <f t="shared" si="11"/>
        <v>14.361702127659576</v>
      </c>
      <c r="J28" s="16">
        <f t="shared" si="7"/>
        <v>15.566646491641515</v>
      </c>
      <c r="K28" s="16">
        <f t="shared" si="8"/>
        <v>6.2519604155727597</v>
      </c>
      <c r="L28" s="16">
        <f t="shared" si="9"/>
        <v>0.28654260293335054</v>
      </c>
    </row>
    <row r="30" spans="1:12" x14ac:dyDescent="0.3">
      <c r="A30" s="6" t="s">
        <v>29</v>
      </c>
      <c r="B30" s="8">
        <f>MAX(B25:B28)</f>
        <v>25</v>
      </c>
      <c r="C30" s="8">
        <f t="shared" ref="C30:I30" si="12">MAX(C25:C28)</f>
        <v>8</v>
      </c>
      <c r="D30" s="8">
        <f t="shared" si="12"/>
        <v>10</v>
      </c>
      <c r="E30" s="8">
        <f t="shared" si="12"/>
        <v>12</v>
      </c>
      <c r="F30" s="8">
        <f t="shared" si="12"/>
        <v>5</v>
      </c>
      <c r="G30" s="8">
        <f t="shared" si="12"/>
        <v>8</v>
      </c>
      <c r="H30" s="8">
        <f t="shared" si="12"/>
        <v>7</v>
      </c>
      <c r="I30" s="8">
        <f t="shared" si="12"/>
        <v>25</v>
      </c>
    </row>
    <row r="31" spans="1:12" x14ac:dyDescent="0.3">
      <c r="A31" s="6" t="s">
        <v>30</v>
      </c>
      <c r="B31" s="8">
        <f>MIN(B25:B28)</f>
        <v>17.105263157894736</v>
      </c>
      <c r="C31" s="8">
        <f t="shared" ref="C31:I31" si="13">MIN(C25:C28)</f>
        <v>1.3333333333333333</v>
      </c>
      <c r="D31" s="8">
        <f t="shared" si="13"/>
        <v>3.75</v>
      </c>
      <c r="E31" s="8">
        <f t="shared" si="13"/>
        <v>9.473684210526315</v>
      </c>
      <c r="F31" s="8">
        <f t="shared" si="13"/>
        <v>4.8369565217391299</v>
      </c>
      <c r="G31" s="8">
        <f t="shared" si="13"/>
        <v>2.4489795918367347</v>
      </c>
      <c r="H31" s="8">
        <f t="shared" si="13"/>
        <v>5.5797101449275361</v>
      </c>
      <c r="I31" s="8">
        <f t="shared" si="13"/>
        <v>14.361702127659576</v>
      </c>
    </row>
    <row r="33" spans="1:5" x14ac:dyDescent="0.3">
      <c r="A33" s="2" t="s">
        <v>34</v>
      </c>
    </row>
    <row r="34" spans="1:5" x14ac:dyDescent="0.3">
      <c r="A34" s="3" t="s">
        <v>35</v>
      </c>
      <c r="B34" s="3" t="s">
        <v>36</v>
      </c>
      <c r="C34" s="3" t="s">
        <v>37</v>
      </c>
      <c r="D34" s="3" t="s">
        <v>38</v>
      </c>
      <c r="E34" s="14" t="s">
        <v>53</v>
      </c>
    </row>
    <row r="35" spans="1:5" x14ac:dyDescent="0.3">
      <c r="A35" s="4" t="s">
        <v>16</v>
      </c>
      <c r="B35" s="8">
        <f>J15</f>
        <v>84.656836189853507</v>
      </c>
      <c r="C35" s="8">
        <f>L25</f>
        <v>0.63094706466380213</v>
      </c>
      <c r="D35" s="8">
        <f>C35*100</f>
        <v>63.09470646638021</v>
      </c>
      <c r="E35" s="16">
        <f>(B35+D35)/2</f>
        <v>73.875771328116855</v>
      </c>
    </row>
    <row r="36" spans="1:5" x14ac:dyDescent="0.3">
      <c r="A36" s="4" t="s">
        <v>17</v>
      </c>
      <c r="B36" s="8">
        <f>J16</f>
        <v>84.252670545797557</v>
      </c>
      <c r="C36" s="8">
        <f t="shared" ref="C36:C38" si="14">L26</f>
        <v>0.58813244677506638</v>
      </c>
      <c r="D36" s="8">
        <f t="shared" ref="D36:D38" si="15">C36*100</f>
        <v>58.813244677506638</v>
      </c>
      <c r="E36" s="16">
        <f t="shared" ref="E36:E38" si="16">(B36+D36)/2</f>
        <v>71.532957611652094</v>
      </c>
    </row>
    <row r="37" spans="1:5" x14ac:dyDescent="0.3">
      <c r="A37" s="7" t="s">
        <v>18</v>
      </c>
      <c r="B37" s="8">
        <f>J17</f>
        <v>76.934515239466435</v>
      </c>
      <c r="C37" s="8">
        <f t="shared" si="14"/>
        <v>0.47786188940316765</v>
      </c>
      <c r="D37" s="8">
        <f t="shared" si="15"/>
        <v>47.786188940316762</v>
      </c>
      <c r="E37" s="16">
        <f t="shared" si="16"/>
        <v>62.360352089891599</v>
      </c>
    </row>
    <row r="38" spans="1:5" x14ac:dyDescent="0.3">
      <c r="A38" s="7" t="s">
        <v>19</v>
      </c>
      <c r="B38" s="8">
        <f>J18</f>
        <v>68.990878329032569</v>
      </c>
      <c r="C38" s="8">
        <f t="shared" si="14"/>
        <v>0.28654260293335054</v>
      </c>
      <c r="D38" s="8">
        <f t="shared" si="15"/>
        <v>28.654260293335053</v>
      </c>
      <c r="E38" s="16">
        <f t="shared" si="16"/>
        <v>48.822569311183813</v>
      </c>
    </row>
    <row r="41" spans="1:5" x14ac:dyDescent="0.3">
      <c r="D41">
        <v>55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4A2B-CE19-4C32-96DE-D05AFD47CCF1}">
  <dimension ref="A1:Q17"/>
  <sheetViews>
    <sheetView workbookViewId="0">
      <selection activeCell="F17" sqref="B8:F17"/>
    </sheetView>
  </sheetViews>
  <sheetFormatPr defaultRowHeight="14.4" x14ac:dyDescent="0.3"/>
  <cols>
    <col min="1" max="1" width="20.109375" customWidth="1"/>
    <col min="4" max="4" width="27.44140625" customWidth="1"/>
    <col min="15" max="15" width="22.33203125" customWidth="1"/>
    <col min="16" max="16" width="18" customWidth="1"/>
    <col min="17" max="17" width="18.44140625" customWidth="1"/>
  </cols>
  <sheetData>
    <row r="1" spans="1:17" x14ac:dyDescent="0.3">
      <c r="A1" s="2" t="s">
        <v>39</v>
      </c>
    </row>
    <row r="3" spans="1:17" x14ac:dyDescent="0.3">
      <c r="A3" t="s">
        <v>40</v>
      </c>
    </row>
    <row r="8" spans="1:17" x14ac:dyDescent="0.3">
      <c r="B8" s="19" t="s">
        <v>55</v>
      </c>
      <c r="C8" s="19" t="s">
        <v>54</v>
      </c>
      <c r="D8" s="19" t="s">
        <v>2</v>
      </c>
      <c r="E8" s="19" t="s">
        <v>7</v>
      </c>
      <c r="F8" s="19" t="s">
        <v>10</v>
      </c>
    </row>
    <row r="9" spans="1:17" x14ac:dyDescent="0.3">
      <c r="B9" s="6">
        <v>1</v>
      </c>
      <c r="C9" s="6" t="s">
        <v>22</v>
      </c>
      <c r="D9" s="6" t="s">
        <v>56</v>
      </c>
      <c r="E9" s="17" t="s">
        <v>8</v>
      </c>
      <c r="F9" s="6">
        <v>25</v>
      </c>
    </row>
    <row r="10" spans="1:17" x14ac:dyDescent="0.3">
      <c r="B10" s="6">
        <v>2</v>
      </c>
      <c r="C10" s="6" t="s">
        <v>23</v>
      </c>
      <c r="D10" s="6" t="s">
        <v>57</v>
      </c>
      <c r="E10" s="17" t="s">
        <v>9</v>
      </c>
      <c r="F10" s="6">
        <v>8</v>
      </c>
    </row>
    <row r="11" spans="1:17" x14ac:dyDescent="0.3">
      <c r="B11" s="6">
        <v>3</v>
      </c>
      <c r="C11" s="6" t="s">
        <v>24</v>
      </c>
      <c r="D11" s="6" t="s">
        <v>58</v>
      </c>
      <c r="E11" s="17" t="s">
        <v>8</v>
      </c>
      <c r="F11" s="6">
        <v>10</v>
      </c>
      <c r="I11" s="9" t="s">
        <v>2</v>
      </c>
      <c r="J11" s="9" t="s">
        <v>3</v>
      </c>
      <c r="K11" s="9" t="s">
        <v>4</v>
      </c>
      <c r="L11" s="9" t="s">
        <v>5</v>
      </c>
      <c r="M11" s="9" t="s">
        <v>6</v>
      </c>
      <c r="N11" s="9" t="s">
        <v>41</v>
      </c>
      <c r="O11" s="9" t="s">
        <v>42</v>
      </c>
      <c r="P11" s="9" t="s">
        <v>43</v>
      </c>
      <c r="Q11" s="9" t="s">
        <v>44</v>
      </c>
    </row>
    <row r="12" spans="1:17" x14ac:dyDescent="0.3">
      <c r="B12" s="6">
        <v>4</v>
      </c>
      <c r="C12" s="6" t="s">
        <v>25</v>
      </c>
      <c r="D12" s="6" t="s">
        <v>59</v>
      </c>
      <c r="E12" s="17" t="s">
        <v>8</v>
      </c>
      <c r="F12" s="6">
        <v>12</v>
      </c>
      <c r="I12" s="9" t="s">
        <v>7</v>
      </c>
      <c r="J12" s="9" t="s">
        <v>8</v>
      </c>
      <c r="K12" s="9" t="s">
        <v>9</v>
      </c>
      <c r="L12" s="9" t="s">
        <v>8</v>
      </c>
      <c r="M12" s="9" t="s">
        <v>8</v>
      </c>
      <c r="N12" s="9" t="s">
        <v>8</v>
      </c>
      <c r="O12" s="9" t="s">
        <v>8</v>
      </c>
      <c r="P12" s="9" t="s">
        <v>8</v>
      </c>
      <c r="Q12" s="9" t="s">
        <v>8</v>
      </c>
    </row>
    <row r="13" spans="1:17" ht="15.6" x14ac:dyDescent="0.3">
      <c r="B13" s="6">
        <v>5</v>
      </c>
      <c r="C13" s="6" t="s">
        <v>49</v>
      </c>
      <c r="D13" s="6" t="s">
        <v>60</v>
      </c>
      <c r="E13" s="17" t="s">
        <v>8</v>
      </c>
      <c r="F13" s="6">
        <v>5</v>
      </c>
      <c r="I13" s="9" t="s">
        <v>10</v>
      </c>
      <c r="J13" s="9">
        <v>25</v>
      </c>
      <c r="K13" s="9">
        <v>8</v>
      </c>
      <c r="L13" s="9">
        <v>10</v>
      </c>
      <c r="M13" s="10">
        <v>12</v>
      </c>
      <c r="N13" s="9">
        <v>5</v>
      </c>
      <c r="O13" s="9">
        <v>8</v>
      </c>
      <c r="P13" s="9">
        <v>7</v>
      </c>
      <c r="Q13" s="9">
        <v>25</v>
      </c>
    </row>
    <row r="14" spans="1:17" x14ac:dyDescent="0.3">
      <c r="B14" s="6">
        <v>6</v>
      </c>
      <c r="C14" s="6" t="s">
        <v>50</v>
      </c>
      <c r="D14" s="6" t="s">
        <v>61</v>
      </c>
      <c r="E14" s="17" t="s">
        <v>8</v>
      </c>
      <c r="F14" s="6">
        <v>8</v>
      </c>
      <c r="I14" s="9" t="s">
        <v>11</v>
      </c>
      <c r="J14" s="9" t="s">
        <v>12</v>
      </c>
      <c r="K14" s="9" t="s">
        <v>13</v>
      </c>
      <c r="L14" s="9" t="s">
        <v>14</v>
      </c>
      <c r="M14" s="9" t="s">
        <v>15</v>
      </c>
      <c r="N14" s="9" t="s">
        <v>45</v>
      </c>
      <c r="O14" s="13" t="s">
        <v>46</v>
      </c>
      <c r="P14" s="13" t="s">
        <v>47</v>
      </c>
      <c r="Q14" s="13" t="s">
        <v>48</v>
      </c>
    </row>
    <row r="15" spans="1:17" x14ac:dyDescent="0.3">
      <c r="B15" s="6">
        <v>7</v>
      </c>
      <c r="C15" s="6" t="s">
        <v>51</v>
      </c>
      <c r="D15" s="6" t="s">
        <v>62</v>
      </c>
      <c r="E15" s="17" t="s">
        <v>8</v>
      </c>
      <c r="F15" s="6">
        <v>7</v>
      </c>
    </row>
    <row r="16" spans="1:17" x14ac:dyDescent="0.3">
      <c r="B16" s="6">
        <v>8</v>
      </c>
      <c r="C16" s="6" t="s">
        <v>52</v>
      </c>
      <c r="D16" s="6" t="s">
        <v>63</v>
      </c>
      <c r="E16" s="17" t="s">
        <v>8</v>
      </c>
      <c r="F16" s="6">
        <v>25</v>
      </c>
    </row>
    <row r="17" spans="2:6" x14ac:dyDescent="0.3">
      <c r="B17" s="18"/>
      <c r="C17" s="21"/>
      <c r="D17" s="22" t="s">
        <v>64</v>
      </c>
      <c r="E17" s="20"/>
      <c r="F17" s="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astrak 1412</dc:creator>
  <cp:lastModifiedBy>astrak 1412</cp:lastModifiedBy>
  <dcterms:created xsi:type="dcterms:W3CDTF">2026-05-29T04:45:17Z</dcterms:created>
  <dcterms:modified xsi:type="dcterms:W3CDTF">2026-06-19T04:52:10Z</dcterms:modified>
</cp:coreProperties>
</file>